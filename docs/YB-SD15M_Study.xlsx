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mporal\Dofbot\"/>
    </mc:Choice>
  </mc:AlternateContent>
  <xr:revisionPtr revIDLastSave="0" documentId="13_ncr:1_{D6CBCF27-ED03-466A-9D2E-BB6FA285432A}" xr6:coauthVersionLast="47" xr6:coauthVersionMax="47" xr10:uidLastSave="{00000000-0000-0000-0000-000000000000}"/>
  <bookViews>
    <workbookView xWindow="-120" yWindow="-120" windowWidth="29040" windowHeight="15720" xr2:uid="{A489D051-922D-4B5F-B358-E7F9F70451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" i="1" l="1"/>
  <c r="W5" i="1"/>
  <c r="R15" i="1"/>
  <c r="S15" i="1"/>
  <c r="N15" i="1"/>
  <c r="N5" i="1"/>
  <c r="Q5" i="1" s="1"/>
  <c r="S5" i="1" s="1"/>
  <c r="O5" i="1"/>
  <c r="R5" i="1" s="1"/>
  <c r="N6" i="1"/>
  <c r="Q6" i="1" s="1"/>
  <c r="V6" i="1" s="1"/>
  <c r="O6" i="1"/>
  <c r="R6" i="1" s="1"/>
  <c r="W6" i="1" s="1"/>
  <c r="N7" i="1"/>
  <c r="Q7" i="1" s="1"/>
  <c r="V7" i="1" s="1"/>
  <c r="O7" i="1"/>
  <c r="R7" i="1" s="1"/>
  <c r="W7" i="1" s="1"/>
  <c r="N8" i="1"/>
  <c r="O8" i="1"/>
  <c r="R8" i="1" s="1"/>
  <c r="T8" i="1" s="1"/>
  <c r="N9" i="1"/>
  <c r="O9" i="1"/>
  <c r="R9" i="1" s="1"/>
  <c r="T9" i="1" s="1"/>
  <c r="N4" i="1"/>
  <c r="Q4" i="1" s="1"/>
  <c r="S4" i="1" s="1"/>
  <c r="O4" i="1"/>
  <c r="R4" i="1" s="1"/>
  <c r="U5" i="1" l="1"/>
  <c r="V4" i="1"/>
  <c r="T5" i="1"/>
  <c r="T7" i="1"/>
  <c r="S7" i="1"/>
  <c r="T6" i="1"/>
  <c r="S6" i="1"/>
  <c r="U4" i="1"/>
  <c r="U7" i="1"/>
  <c r="U6" i="1"/>
  <c r="V5" i="1"/>
  <c r="P9" i="1"/>
  <c r="W8" i="1"/>
  <c r="W9" i="1"/>
  <c r="P5" i="1"/>
  <c r="T4" i="1"/>
  <c r="P4" i="1"/>
  <c r="P8" i="1"/>
  <c r="P7" i="1"/>
  <c r="P6" i="1"/>
  <c r="Q8" i="1"/>
  <c r="U8" i="1" s="1"/>
  <c r="Q9" i="1"/>
  <c r="S9" i="1" l="1"/>
  <c r="V9" i="1"/>
  <c r="S8" i="1"/>
  <c r="V8" i="1"/>
</calcChain>
</file>

<file path=xl/sharedStrings.xml><?xml version="1.0" encoding="utf-8"?>
<sst xmlns="http://schemas.openxmlformats.org/spreadsheetml/2006/main" count="41" uniqueCount="26">
  <si>
    <t>lower</t>
  </si>
  <si>
    <t>upper</t>
  </si>
  <si>
    <t>arm_joint_01</t>
  </si>
  <si>
    <t>arm_joint_02</t>
  </si>
  <si>
    <t>arm_joint_03</t>
  </si>
  <si>
    <t>arm_joint_04</t>
  </si>
  <si>
    <t>arm_joint_05</t>
  </si>
  <si>
    <t>grip_joint</t>
  </si>
  <si>
    <t>Upper</t>
  </si>
  <si>
    <t>URDF (RAD)</t>
  </si>
  <si>
    <t>URDF (DEG)</t>
  </si>
  <si>
    <t>LINK RANGE</t>
  </si>
  <si>
    <t>LINK REAL DEG</t>
  </si>
  <si>
    <t>SERVO ID</t>
  </si>
  <si>
    <t>DEGREES</t>
  </si>
  <si>
    <t>TOL</t>
  </si>
  <si>
    <t>DEG/BIT</t>
  </si>
  <si>
    <r>
      <rPr>
        <sz val="11"/>
        <color theme="1"/>
        <rFont val="Aptos Narrow"/>
        <family val="2"/>
      </rPr>
      <t>±</t>
    </r>
    <r>
      <rPr>
        <sz val="11"/>
        <color theme="1"/>
        <rFont val="Aptos Narrow"/>
        <family val="2"/>
        <scheme val="minor"/>
      </rPr>
      <t>15 DEG</t>
    </r>
  </si>
  <si>
    <t>SERVO using INT</t>
  </si>
  <si>
    <t>OFFSET (DEG)</t>
  </si>
  <si>
    <t>OFFSET (BIT)</t>
  </si>
  <si>
    <t>SERVO using ROUND</t>
  </si>
  <si>
    <t>ERROR</t>
  </si>
  <si>
    <t>PRECISION</t>
  </si>
  <si>
    <t>BIT</t>
  </si>
  <si>
    <t>YB-SD15M, SERVO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</si>
</sst>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</cellStyleXfs>
  <cellXfs count="39">
    <xf numFmtId="0" fontId="0" fillId="0" borderId="0" xfId="0"/>
    <xf numFmtId="2" fontId="0" fillId="0" borderId="0" xfId="0" applyNumberFormat="1"/>
    <xf numFmtId="0" fontId="1" fillId="9" borderId="1" xfId="0" applyFont="1" applyFill="1" applyBorder="1"/>
    <xf numFmtId="0" fontId="1" fillId="9" borderId="2" xfId="0" applyFont="1" applyFill="1" applyBorder="1"/>
    <xf numFmtId="0" fontId="1" fillId="9" borderId="4" xfId="0" applyFont="1" applyFill="1" applyBorder="1"/>
    <xf numFmtId="0" fontId="1" fillId="9" borderId="6" xfId="0" applyFont="1" applyFill="1" applyBorder="1"/>
    <xf numFmtId="0" fontId="1" fillId="9" borderId="0" xfId="0" applyFont="1" applyFill="1"/>
    <xf numFmtId="0" fontId="1" fillId="9" borderId="7" xfId="0" applyFont="1" applyFill="1" applyBorder="1"/>
    <xf numFmtId="0" fontId="0" fillId="8" borderId="5" xfId="0" applyFill="1" applyBorder="1"/>
    <xf numFmtId="2" fontId="0" fillId="8" borderId="5" xfId="0" applyNumberFormat="1" applyFill="1" applyBorder="1"/>
    <xf numFmtId="164" fontId="0" fillId="8" borderId="5" xfId="0" applyNumberFormat="1" applyFill="1" applyBorder="1"/>
    <xf numFmtId="0" fontId="0" fillId="0" borderId="5" xfId="0" applyBorder="1"/>
    <xf numFmtId="2" fontId="0" fillId="0" borderId="5" xfId="0" applyNumberFormat="1" applyBorder="1"/>
    <xf numFmtId="164" fontId="0" fillId="0" borderId="5" xfId="0" applyNumberFormat="1" applyBorder="1"/>
    <xf numFmtId="0" fontId="0" fillId="8" borderId="8" xfId="0" applyFill="1" applyBorder="1"/>
    <xf numFmtId="0" fontId="0" fillId="8" borderId="9" xfId="0" applyFill="1" applyBorder="1"/>
    <xf numFmtId="2" fontId="0" fillId="8" borderId="9" xfId="0" applyNumberFormat="1" applyFill="1" applyBorder="1"/>
    <xf numFmtId="164" fontId="0" fillId="8" borderId="9" xfId="0" applyNumberFormat="1" applyFill="1" applyBorder="1"/>
    <xf numFmtId="0" fontId="0" fillId="8" borderId="10" xfId="0" applyFill="1" applyBorder="1"/>
    <xf numFmtId="0" fontId="0" fillId="0" borderId="11" xfId="0" applyBorder="1"/>
    <xf numFmtId="0" fontId="0" fillId="0" borderId="12" xfId="0" applyBorder="1"/>
    <xf numFmtId="0" fontId="0" fillId="8" borderId="11" xfId="0" applyFill="1" applyBorder="1"/>
    <xf numFmtId="0" fontId="0" fillId="8" borderId="12" xfId="0" applyFill="1" applyBorder="1"/>
    <xf numFmtId="0" fontId="0" fillId="5" borderId="16" xfId="0" applyFill="1" applyBorder="1"/>
    <xf numFmtId="0" fontId="0" fillId="5" borderId="17" xfId="0" applyFill="1" applyBorder="1"/>
    <xf numFmtId="0" fontId="0" fillId="4" borderId="17" xfId="0" applyFill="1" applyBorder="1"/>
    <xf numFmtId="0" fontId="0" fillId="6" borderId="17" xfId="0" applyFill="1" applyBorder="1"/>
    <xf numFmtId="0" fontId="1" fillId="3" borderId="17" xfId="2" applyFont="1" applyBorder="1"/>
    <xf numFmtId="0" fontId="1" fillId="2" borderId="17" xfId="1" applyFont="1" applyBorder="1"/>
    <xf numFmtId="0" fontId="1" fillId="2" borderId="18" xfId="1" applyFont="1" applyBorder="1"/>
    <xf numFmtId="0" fontId="0" fillId="10" borderId="17" xfId="0" applyFill="1" applyBorder="1"/>
    <xf numFmtId="0" fontId="2" fillId="0" borderId="0" xfId="0" applyFont="1"/>
    <xf numFmtId="0" fontId="0" fillId="7" borderId="13" xfId="0" applyFill="1" applyBorder="1"/>
    <xf numFmtId="0" fontId="0" fillId="7" borderId="14" xfId="0" applyFill="1" applyBorder="1"/>
    <xf numFmtId="2" fontId="0" fillId="7" borderId="14" xfId="0" applyNumberFormat="1" applyFill="1" applyBorder="1"/>
    <xf numFmtId="0" fontId="0" fillId="7" borderId="15" xfId="0" applyFill="1" applyBorder="1"/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</cellXfs>
  <cellStyles count="3">
    <cellStyle name="Accent3" xfId="1" builtinId="37"/>
    <cellStyle name="Accent4" xfId="2" builtinId="41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66675</xdr:rowOff>
    </xdr:from>
    <xdr:to>
      <xdr:col>8</xdr:col>
      <xdr:colOff>701698</xdr:colOff>
      <xdr:row>30</xdr:row>
      <xdr:rowOff>47625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9E0BCF10-65CF-25CF-0DF1-178DF1E18DDE}"/>
            </a:ext>
          </a:extLst>
        </xdr:cNvPr>
        <xdr:cNvGrpSpPr/>
      </xdr:nvGrpSpPr>
      <xdr:grpSpPr>
        <a:xfrm>
          <a:off x="85725" y="66675"/>
          <a:ext cx="5724837" cy="5747905"/>
          <a:chOff x="85725" y="66675"/>
          <a:chExt cx="5740423" cy="5753100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25B37689-6D46-ECEC-0B9C-0221C108B254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46501"/>
          <a:stretch/>
        </xdr:blipFill>
        <xdr:spPr bwMode="auto">
          <a:xfrm>
            <a:off x="85725" y="66675"/>
            <a:ext cx="5740423" cy="5753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99E2C6A9-D553-BCA9-F0DE-CDA4305A4297}"/>
              </a:ext>
            </a:extLst>
          </xdr:cNvPr>
          <xdr:cNvSpPr/>
        </xdr:nvSpPr>
        <xdr:spPr>
          <a:xfrm>
            <a:off x="1524000" y="3228976"/>
            <a:ext cx="238126" cy="342900"/>
          </a:xfrm>
          <a:prstGeom prst="rect">
            <a:avLst/>
          </a:prstGeom>
          <a:solidFill>
            <a:schemeClr val="accent6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7524389-3213-74C4-8865-DB25F52885F2}"/>
              </a:ext>
            </a:extLst>
          </xdr:cNvPr>
          <xdr:cNvSpPr/>
        </xdr:nvSpPr>
        <xdr:spPr>
          <a:xfrm>
            <a:off x="1752600" y="3238501"/>
            <a:ext cx="266700" cy="333374"/>
          </a:xfrm>
          <a:prstGeom prst="rect">
            <a:avLst/>
          </a:prstGeom>
          <a:solidFill>
            <a:schemeClr val="accent5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643D9E9F-21D7-D0E9-6328-84746F458DF5}"/>
              </a:ext>
            </a:extLst>
          </xdr:cNvPr>
          <xdr:cNvSpPr/>
        </xdr:nvSpPr>
        <xdr:spPr>
          <a:xfrm>
            <a:off x="2019301" y="3238500"/>
            <a:ext cx="638174" cy="323850"/>
          </a:xfrm>
          <a:prstGeom prst="rect">
            <a:avLst/>
          </a:prstGeom>
          <a:solidFill>
            <a:schemeClr val="tx2">
              <a:lumMod val="50000"/>
              <a:lumOff val="50000"/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3B064419-CC6C-0715-82EE-7AF22BD2236C}"/>
              </a:ext>
            </a:extLst>
          </xdr:cNvPr>
          <xdr:cNvSpPr/>
        </xdr:nvSpPr>
        <xdr:spPr>
          <a:xfrm>
            <a:off x="1200150" y="4162425"/>
            <a:ext cx="1752600" cy="238125"/>
          </a:xfrm>
          <a:prstGeom prst="rect">
            <a:avLst/>
          </a:prstGeom>
          <a:solidFill>
            <a:schemeClr val="accent2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2</xdr:col>
      <xdr:colOff>423864</xdr:colOff>
      <xdr:row>14</xdr:row>
      <xdr:rowOff>95250</xdr:rowOff>
    </xdr:from>
    <xdr:to>
      <xdr:col>8</xdr:col>
      <xdr:colOff>809626</xdr:colOff>
      <xdr:row>16</xdr:row>
      <xdr:rowOff>123826</xdr:rowOff>
    </xdr:to>
    <xdr:cxnSp macro="">
      <xdr:nvCxnSpPr>
        <xdr:cNvPr id="9" name="Connector: Curved 8">
          <a:extLst>
            <a:ext uri="{FF2B5EF4-FFF2-40B4-BE49-F238E27FC236}">
              <a16:creationId xmlns:a16="http://schemas.microsoft.com/office/drawing/2014/main" id="{BBFC1D7A-C044-344A-7BB7-23C42E4E8C83}"/>
            </a:ext>
          </a:extLst>
        </xdr:cNvPr>
        <xdr:cNvCxnSpPr>
          <a:stCxn id="3" idx="0"/>
        </xdr:cNvCxnSpPr>
      </xdr:nvCxnSpPr>
      <xdr:spPr>
        <a:xfrm rot="5400000" flipH="1" flipV="1">
          <a:off x="3579019" y="873920"/>
          <a:ext cx="419101" cy="4291012"/>
        </a:xfrm>
        <a:prstGeom prst="curvedConnector2">
          <a:avLst/>
        </a:prstGeom>
        <a:ln w="28575" cap="flat" cmpd="sng" algn="ctr">
          <a:solidFill>
            <a:schemeClr val="accent6"/>
          </a:solidFill>
          <a:prstDash val="dash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15</xdr:row>
      <xdr:rowOff>28575</xdr:rowOff>
    </xdr:from>
    <xdr:to>
      <xdr:col>11</xdr:col>
      <xdr:colOff>200025</xdr:colOff>
      <xdr:row>17</xdr:row>
      <xdr:rowOff>104775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3116DFD8-15F0-6F14-7854-9A836A9617B6}"/>
            </a:ext>
          </a:extLst>
        </xdr:cNvPr>
        <xdr:cNvCxnSpPr>
          <a:stCxn id="5" idx="3"/>
        </xdr:cNvCxnSpPr>
      </xdr:nvCxnSpPr>
      <xdr:spPr>
        <a:xfrm flipV="1">
          <a:off x="2657475" y="2943225"/>
          <a:ext cx="4953000" cy="457200"/>
        </a:xfrm>
        <a:prstGeom prst="straightConnector1">
          <a:avLst/>
        </a:prstGeom>
        <a:ln w="28575">
          <a:solidFill>
            <a:schemeClr val="tx2">
              <a:lumMod val="50000"/>
              <a:lumOff val="50000"/>
            </a:schemeClr>
          </a:solidFill>
          <a:prstDash val="dash"/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3</xdr:col>
      <xdr:colOff>57149</xdr:colOff>
      <xdr:row>15</xdr:row>
      <xdr:rowOff>66672</xdr:rowOff>
    </xdr:from>
    <xdr:to>
      <xdr:col>14</xdr:col>
      <xdr:colOff>504827</xdr:colOff>
      <xdr:row>18</xdr:row>
      <xdr:rowOff>85725</xdr:rowOff>
    </xdr:to>
    <xdr:cxnSp macro="">
      <xdr:nvCxnSpPr>
        <xdr:cNvPr id="47" name="Connector: Curved 46">
          <a:extLst>
            <a:ext uri="{FF2B5EF4-FFF2-40B4-BE49-F238E27FC236}">
              <a16:creationId xmlns:a16="http://schemas.microsoft.com/office/drawing/2014/main" id="{EAE51D89-8D59-5907-4F24-7396C3282BAE}"/>
            </a:ext>
          </a:extLst>
        </xdr:cNvPr>
        <xdr:cNvCxnSpPr>
          <a:stCxn id="4" idx="2"/>
        </xdr:cNvCxnSpPr>
      </xdr:nvCxnSpPr>
      <xdr:spPr>
        <a:xfrm rot="5400000" flipH="1" flipV="1">
          <a:off x="5676899" y="-809628"/>
          <a:ext cx="590553" cy="8172453"/>
        </a:xfrm>
        <a:prstGeom prst="curvedConnector4">
          <a:avLst>
            <a:gd name="adj1" fmla="val -38709"/>
            <a:gd name="adj2" fmla="val 103613"/>
          </a:avLst>
        </a:prstGeom>
        <a:ln w="28575">
          <a:solidFill>
            <a:schemeClr val="accent5">
              <a:lumMod val="60000"/>
              <a:lumOff val="40000"/>
            </a:schemeClr>
          </a:solidFill>
          <a:prstDash val="dash"/>
          <a:tailEnd type="triangle"/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54352</xdr:colOff>
      <xdr:row>9</xdr:row>
      <xdr:rowOff>49713</xdr:rowOff>
    </xdr:from>
    <xdr:to>
      <xdr:col>22</xdr:col>
      <xdr:colOff>496474</xdr:colOff>
      <xdr:row>22</xdr:row>
      <xdr:rowOff>155711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DDC5A9CF-1F7F-5C5D-FB56-37E426B5F4C2}"/>
            </a:ext>
          </a:extLst>
        </xdr:cNvPr>
        <xdr:cNvGrpSpPr/>
      </xdr:nvGrpSpPr>
      <xdr:grpSpPr>
        <a:xfrm>
          <a:off x="13320079" y="1790190"/>
          <a:ext cx="2442372" cy="2608476"/>
          <a:chOff x="6747831" y="4412875"/>
          <a:chExt cx="2442882" cy="2608476"/>
        </a:xfrm>
      </xdr:grpSpPr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E8AA9A83-E640-F7FA-2569-FAFCD40AC7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747831" y="4582951"/>
            <a:ext cx="2442882" cy="2438400"/>
          </a:xfrm>
          <a:prstGeom prst="rect">
            <a:avLst/>
          </a:prstGeom>
        </xdr:spPr>
      </xdr:pic>
      <xdr:sp macro="" textlink="">
        <xdr:nvSpPr>
          <xdr:cNvPr id="13" name="Arc 12">
            <a:extLst>
              <a:ext uri="{FF2B5EF4-FFF2-40B4-BE49-F238E27FC236}">
                <a16:creationId xmlns:a16="http://schemas.microsoft.com/office/drawing/2014/main" id="{BA98B31F-FC90-6559-90B3-0B95E69DCE2B}"/>
              </a:ext>
            </a:extLst>
          </xdr:cNvPr>
          <xdr:cNvSpPr/>
        </xdr:nvSpPr>
        <xdr:spPr>
          <a:xfrm>
            <a:off x="7321924" y="4701987"/>
            <a:ext cx="1263361" cy="1260000"/>
          </a:xfrm>
          <a:prstGeom prst="arc">
            <a:avLst>
              <a:gd name="adj1" fmla="val 10748906"/>
              <a:gd name="adj2" fmla="val 3468"/>
            </a:avLst>
          </a:prstGeom>
          <a:ln w="12700">
            <a:solidFill>
              <a:srgbClr val="C00000"/>
            </a:solidFill>
            <a:prstDash val="lgDash"/>
            <a:headEnd type="arrow" w="med" len="med"/>
            <a:tailEnd type="arrow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cxnSp macro="">
        <xdr:nvCxnSpPr>
          <xdr:cNvPr id="15" name="Straight Connector 14">
            <a:extLst>
              <a:ext uri="{FF2B5EF4-FFF2-40B4-BE49-F238E27FC236}">
                <a16:creationId xmlns:a16="http://schemas.microsoft.com/office/drawing/2014/main" id="{41CC5858-0CD8-7F8C-9BE7-FBB3BB84CF99}"/>
              </a:ext>
            </a:extLst>
          </xdr:cNvPr>
          <xdr:cNvCxnSpPr/>
        </xdr:nvCxnSpPr>
        <xdr:spPr>
          <a:xfrm flipH="1">
            <a:off x="7942169" y="4701988"/>
            <a:ext cx="9525" cy="1257300"/>
          </a:xfrm>
          <a:prstGeom prst="line">
            <a:avLst/>
          </a:prstGeom>
          <a:ln w="12700">
            <a:solidFill>
              <a:schemeClr val="bg1">
                <a:lumMod val="65000"/>
              </a:schemeClr>
            </a:solidFill>
            <a:prstDash val="dash"/>
          </a:ln>
        </xdr:spPr>
        <xdr:style>
          <a:lnRef idx="2">
            <a:schemeClr val="accent6"/>
          </a:lnRef>
          <a:fillRef idx="0">
            <a:schemeClr val="accent6"/>
          </a:fillRef>
          <a:effectRef idx="1">
            <a:schemeClr val="accent6"/>
          </a:effectRef>
          <a:fontRef idx="minor">
            <a:schemeClr val="tx1"/>
          </a:fontRef>
        </xdr:style>
      </xdr:cxnSp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5AF5D2AB-322C-FD74-A919-00C503065E63}"/>
              </a:ext>
            </a:extLst>
          </xdr:cNvPr>
          <xdr:cNvCxnSpPr>
            <a:stCxn id="13" idx="0"/>
          </xdr:cNvCxnSpPr>
        </xdr:nvCxnSpPr>
        <xdr:spPr>
          <a:xfrm flipV="1">
            <a:off x="7321994" y="5340163"/>
            <a:ext cx="1270116" cy="1187"/>
          </a:xfrm>
          <a:prstGeom prst="line">
            <a:avLst/>
          </a:prstGeom>
          <a:ln w="12700">
            <a:solidFill>
              <a:schemeClr val="bg1">
                <a:lumMod val="75000"/>
              </a:schemeClr>
            </a:solidFill>
            <a:prstDash val="dash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9AD9764E-FD4F-C863-160B-8BFDF25F836C}"/>
              </a:ext>
            </a:extLst>
          </xdr:cNvPr>
          <xdr:cNvSpPr txBox="1"/>
        </xdr:nvSpPr>
        <xdr:spPr>
          <a:xfrm>
            <a:off x="7788089" y="4560794"/>
            <a:ext cx="324970" cy="1400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MX" sz="1100" b="1">
                <a:solidFill>
                  <a:schemeClr val="bg2">
                    <a:lumMod val="25000"/>
                  </a:schemeClr>
                </a:solidFill>
              </a:rPr>
              <a:t>0</a:t>
            </a:r>
            <a:r>
              <a:rPr lang="es-MX" sz="1100" b="1">
                <a:solidFill>
                  <a:schemeClr val="bg2">
                    <a:lumMod val="25000"/>
                  </a:schemeClr>
                </a:solidFill>
                <a:latin typeface="Aptos Narrow" panose="020B0004020202020204" pitchFamily="34" charset="0"/>
              </a:rPr>
              <a:t>º</a:t>
            </a:r>
            <a:endParaRPr lang="es-MX" sz="1100" b="1">
              <a:solidFill>
                <a:schemeClr val="bg2">
                  <a:lumMod val="25000"/>
                </a:schemeClr>
              </a:solidFill>
            </a:endParaRPr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B0838A9E-3E88-46A2-A7E1-1C9BB55C20BD}"/>
              </a:ext>
            </a:extLst>
          </xdr:cNvPr>
          <xdr:cNvSpPr txBox="1"/>
        </xdr:nvSpPr>
        <xdr:spPr>
          <a:xfrm>
            <a:off x="8348381" y="5346326"/>
            <a:ext cx="476252" cy="1400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MX" sz="1100" b="1">
                <a:solidFill>
                  <a:schemeClr val="bg2">
                    <a:lumMod val="25000"/>
                  </a:schemeClr>
                </a:solidFill>
              </a:rPr>
              <a:t>+90</a:t>
            </a:r>
            <a:r>
              <a:rPr lang="es-MX" sz="1100" b="1">
                <a:solidFill>
                  <a:schemeClr val="bg2">
                    <a:lumMod val="25000"/>
                  </a:schemeClr>
                </a:solidFill>
                <a:latin typeface="Aptos Narrow" panose="020B0004020202020204" pitchFamily="34" charset="0"/>
              </a:rPr>
              <a:t>º</a:t>
            </a:r>
            <a:endParaRPr lang="es-MX" sz="1100" b="1">
              <a:solidFill>
                <a:schemeClr val="bg2">
                  <a:lumMod val="25000"/>
                </a:schemeClr>
              </a:solidFill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F829F891-F682-4E86-B425-5027D6482E3E}"/>
              </a:ext>
            </a:extLst>
          </xdr:cNvPr>
          <xdr:cNvSpPr txBox="1"/>
        </xdr:nvSpPr>
        <xdr:spPr>
          <a:xfrm>
            <a:off x="7083237" y="5364255"/>
            <a:ext cx="431427" cy="1400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MX" sz="1100" b="1">
                <a:solidFill>
                  <a:schemeClr val="bg2">
                    <a:lumMod val="25000"/>
                  </a:schemeClr>
                </a:solidFill>
              </a:rPr>
              <a:t>-90</a:t>
            </a:r>
            <a:r>
              <a:rPr lang="es-MX" sz="1100" b="1">
                <a:solidFill>
                  <a:schemeClr val="bg2">
                    <a:lumMod val="25000"/>
                  </a:schemeClr>
                </a:solidFill>
                <a:latin typeface="Aptos Narrow" panose="020B0004020202020204" pitchFamily="34" charset="0"/>
              </a:rPr>
              <a:t>º</a:t>
            </a:r>
            <a:endParaRPr lang="es-MX" sz="1100" b="1">
              <a:solidFill>
                <a:schemeClr val="bg2">
                  <a:lumMod val="25000"/>
                </a:schemeClr>
              </a:solidFill>
            </a:endParaRPr>
          </a:p>
        </xdr:txBody>
      </xdr:sp>
      <xdr:sp macro="" textlink="">
        <xdr:nvSpPr>
          <xdr:cNvPr id="23" name="Arc 22">
            <a:extLst>
              <a:ext uri="{FF2B5EF4-FFF2-40B4-BE49-F238E27FC236}">
                <a16:creationId xmlns:a16="http://schemas.microsoft.com/office/drawing/2014/main" id="{C18548E2-6159-4A70-BEC2-E64585F5EEE0}"/>
              </a:ext>
            </a:extLst>
          </xdr:cNvPr>
          <xdr:cNvSpPr/>
        </xdr:nvSpPr>
        <xdr:spPr>
          <a:xfrm>
            <a:off x="7188573" y="4579841"/>
            <a:ext cx="1512000" cy="1512000"/>
          </a:xfrm>
          <a:prstGeom prst="arc">
            <a:avLst>
              <a:gd name="adj1" fmla="val 10748906"/>
              <a:gd name="adj2" fmla="val 3468"/>
            </a:avLst>
          </a:prstGeom>
          <a:ln>
            <a:solidFill>
              <a:schemeClr val="tx2">
                <a:lumMod val="75000"/>
                <a:lumOff val="25000"/>
              </a:schemeClr>
            </a:solidFill>
            <a:prstDash val="lgDashDot"/>
            <a:headEnd type="diamond" w="med" len="med"/>
            <a:tailEnd type="diamond" w="med" len="med"/>
          </a:ln>
        </xdr:spPr>
        <xdr:style>
          <a:lnRef idx="1">
            <a:schemeClr val="accent6"/>
          </a:lnRef>
          <a:fillRef idx="0">
            <a:schemeClr val="accent6"/>
          </a:fillRef>
          <a:effectRef idx="0">
            <a:schemeClr val="accent6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4B01ACF4-405E-4751-8B97-EF62E97F3BC5}"/>
              </a:ext>
            </a:extLst>
          </xdr:cNvPr>
          <xdr:cNvSpPr txBox="1"/>
        </xdr:nvSpPr>
        <xdr:spPr>
          <a:xfrm>
            <a:off x="7734299" y="4412875"/>
            <a:ext cx="485216" cy="1400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MX" sz="1100" b="1">
                <a:solidFill>
                  <a:schemeClr val="bg2">
                    <a:lumMod val="25000"/>
                  </a:schemeClr>
                </a:solidFill>
              </a:rPr>
              <a:t>180</a:t>
            </a:r>
            <a:r>
              <a:rPr lang="es-MX" sz="1100" b="1">
                <a:solidFill>
                  <a:schemeClr val="bg2">
                    <a:lumMod val="25000"/>
                  </a:schemeClr>
                </a:solidFill>
                <a:latin typeface="Aptos Narrow" panose="020B0004020202020204" pitchFamily="34" charset="0"/>
              </a:rPr>
              <a:t>º</a:t>
            </a:r>
            <a:endParaRPr lang="es-MX" sz="1100" b="1">
              <a:solidFill>
                <a:schemeClr val="bg2">
                  <a:lumMod val="25000"/>
                </a:schemeClr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94002-9328-4401-928D-BAC2C16B29CD}">
  <dimension ref="J1:W15"/>
  <sheetViews>
    <sheetView showGridLines="0" tabSelected="1" zoomScale="110" zoomScaleNormal="110" workbookViewId="0">
      <selection activeCell="Q25" sqref="Q25"/>
    </sheetView>
  </sheetViews>
  <sheetFormatPr defaultRowHeight="15" x14ac:dyDescent="0.25"/>
  <cols>
    <col min="6" max="6" width="9.7109375" bestFit="1" customWidth="1"/>
    <col min="8" max="8" width="12.28515625" bestFit="1" customWidth="1"/>
    <col min="9" max="9" width="12.28515625" customWidth="1"/>
    <col min="10" max="10" width="12.85546875" customWidth="1"/>
    <col min="12" max="12" width="11.140625" bestFit="1" customWidth="1"/>
    <col min="14" max="14" width="11.85546875" bestFit="1" customWidth="1"/>
    <col min="15" max="15" width="9.7109375" bestFit="1" customWidth="1"/>
    <col min="16" max="16" width="13.5703125" bestFit="1" customWidth="1"/>
    <col min="17" max="17" width="14.42578125" bestFit="1" customWidth="1"/>
    <col min="21" max="21" width="11.5703125" bestFit="1" customWidth="1"/>
    <col min="22" max="22" width="9.28515625" customWidth="1"/>
    <col min="23" max="23" width="10" customWidth="1"/>
  </cols>
  <sheetData>
    <row r="1" spans="10:23" ht="15.75" thickBot="1" x14ac:dyDescent="0.3"/>
    <row r="2" spans="10:23" x14ac:dyDescent="0.25">
      <c r="K2" s="2"/>
      <c r="L2" s="37" t="s">
        <v>9</v>
      </c>
      <c r="M2" s="37"/>
      <c r="N2" s="37" t="s">
        <v>10</v>
      </c>
      <c r="O2" s="37"/>
      <c r="P2" s="3" t="s">
        <v>11</v>
      </c>
      <c r="Q2" s="37" t="s">
        <v>12</v>
      </c>
      <c r="R2" s="37"/>
      <c r="S2" s="37" t="s">
        <v>18</v>
      </c>
      <c r="T2" s="37"/>
      <c r="U2" s="3" t="s">
        <v>23</v>
      </c>
      <c r="V2" s="37" t="s">
        <v>21</v>
      </c>
      <c r="W2" s="38"/>
    </row>
    <row r="3" spans="10:23" ht="15.75" thickBot="1" x14ac:dyDescent="0.3">
      <c r="K3" s="5" t="s">
        <v>13</v>
      </c>
      <c r="L3" s="6" t="s">
        <v>0</v>
      </c>
      <c r="M3" s="6" t="s">
        <v>1</v>
      </c>
      <c r="N3" s="6" t="s">
        <v>0</v>
      </c>
      <c r="O3" s="6" t="s">
        <v>1</v>
      </c>
      <c r="P3" s="6"/>
      <c r="Q3" s="6" t="s">
        <v>0</v>
      </c>
      <c r="R3" s="6" t="s">
        <v>8</v>
      </c>
      <c r="S3" s="6" t="s">
        <v>0</v>
      </c>
      <c r="T3" s="6" t="s">
        <v>1</v>
      </c>
      <c r="U3" s="6" t="s">
        <v>22</v>
      </c>
      <c r="V3" s="6" t="s">
        <v>0</v>
      </c>
      <c r="W3" s="7" t="s">
        <v>1</v>
      </c>
    </row>
    <row r="4" spans="10:23" x14ac:dyDescent="0.25">
      <c r="J4" s="2" t="s">
        <v>2</v>
      </c>
      <c r="K4" s="14">
        <v>1</v>
      </c>
      <c r="L4" s="15">
        <v>-1.5708</v>
      </c>
      <c r="M4" s="15">
        <v>1.5708</v>
      </c>
      <c r="N4" s="16">
        <f>(IF(L4&lt;0,-1,1))*(DEGREES(ABS(L4)))</f>
        <v>-90.000210459149713</v>
      </c>
      <c r="O4" s="16">
        <f>(IF(M4&lt;0,-1,1))*(DEGREES(ABS(M4)))</f>
        <v>90.000210459149713</v>
      </c>
      <c r="P4" s="16">
        <f>ABS(N4)+ABS(O4)</f>
        <v>180.00042091829943</v>
      </c>
      <c r="Q4" s="16">
        <f>N4+90</f>
        <v>-2.1045914971296042E-4</v>
      </c>
      <c r="R4" s="16">
        <f>O4+90</f>
        <v>180.00021045914971</v>
      </c>
      <c r="S4" s="15">
        <f>INT((3100 - 900) * (Q4 - 0) / (180 - 0) + 900)</f>
        <v>899</v>
      </c>
      <c r="T4" s="15">
        <f>INT((3100 - 900) * (R4 - 0) / (180 - 0) + 900)</f>
        <v>3100</v>
      </c>
      <c r="U4" s="17">
        <f>ABS(900-((3100 - 900) * (Q4 - 0) / (180 - 0) + 900))</f>
        <v>2.5722784964727907E-3</v>
      </c>
      <c r="V4" s="15">
        <f>ROUND(((3100 - 900) * (Q4 - 0) / (180 - 0) + 900), 0)</f>
        <v>900</v>
      </c>
      <c r="W4" s="18">
        <f>ROUND(((3100 - 900) * (R4 - 0) / (180 - 0) + 900), 0)</f>
        <v>3100</v>
      </c>
    </row>
    <row r="5" spans="10:23" x14ac:dyDescent="0.25">
      <c r="J5" s="5" t="s">
        <v>3</v>
      </c>
      <c r="K5" s="19">
        <v>2</v>
      </c>
      <c r="L5" s="11">
        <v>-1.5708</v>
      </c>
      <c r="M5" s="11">
        <v>1.5708</v>
      </c>
      <c r="N5" s="12">
        <f t="shared" ref="N5:N9" si="0">(IF(L5&lt;0,-1,1))*(DEGREES(ABS(L5)))</f>
        <v>-90.000210459149713</v>
      </c>
      <c r="O5" s="12">
        <f t="shared" ref="O5:O9" si="1">(IF(M5&lt;0,-1,1))*(DEGREES(ABS(M5)))</f>
        <v>90.000210459149713</v>
      </c>
      <c r="P5" s="12">
        <f t="shared" ref="P5:P9" si="2">ABS(N5)+ABS(O5)</f>
        <v>180.00042091829943</v>
      </c>
      <c r="Q5" s="12">
        <f t="shared" ref="Q5:Q7" si="3">N5+90</f>
        <v>-2.1045914971296042E-4</v>
      </c>
      <c r="R5" s="12">
        <f t="shared" ref="R5:R7" si="4">O5+90</f>
        <v>180.00021045914971</v>
      </c>
      <c r="S5" s="11">
        <f>INT((3100 - 900) * (180 - Q5 - 0) / (180 - 0) + 900)</f>
        <v>3100</v>
      </c>
      <c r="T5" s="11">
        <f>INT((3100 - 900) * (180 - R5 - 0) / (180 - 0) + 900)</f>
        <v>899</v>
      </c>
      <c r="U5" s="13">
        <f>ABS(3100-((3100 - 900) * (180 - Q5 - 0) / (180 - 0) + 900))</f>
        <v>2.572278496245417E-3</v>
      </c>
      <c r="V5" s="11">
        <f>ROUND(((3100 - 900) * (180 - Q5 - 0) / (180 - 0) + 900),0)</f>
        <v>3100</v>
      </c>
      <c r="W5" s="20">
        <f t="shared" ref="W5:W7" si="5">ROUND(((3100 - 900) * (180 - R5 - 0) / (180 - 0) + 900),0)</f>
        <v>900</v>
      </c>
    </row>
    <row r="6" spans="10:23" x14ac:dyDescent="0.25">
      <c r="J6" s="5" t="s">
        <v>4</v>
      </c>
      <c r="K6" s="21">
        <v>3</v>
      </c>
      <c r="L6" s="8">
        <v>-1.5708</v>
      </c>
      <c r="M6" s="8">
        <v>1.5708</v>
      </c>
      <c r="N6" s="9">
        <f t="shared" si="0"/>
        <v>-90.000210459149713</v>
      </c>
      <c r="O6" s="9">
        <f t="shared" si="1"/>
        <v>90.000210459149713</v>
      </c>
      <c r="P6" s="9">
        <f t="shared" si="2"/>
        <v>180.00042091829943</v>
      </c>
      <c r="Q6" s="9">
        <f t="shared" si="3"/>
        <v>-2.1045914971296042E-4</v>
      </c>
      <c r="R6" s="9">
        <f t="shared" si="4"/>
        <v>180.00021045914971</v>
      </c>
      <c r="S6" s="8">
        <f t="shared" ref="S6:S7" si="6">INT((3100 - 900) * (180 - Q6 - 0) / (180 - 0) + 900)</f>
        <v>3100</v>
      </c>
      <c r="T6" s="8">
        <f t="shared" ref="T6:T7" si="7">INT((3100 - 900) * (180 - R6 - 0) / (180 - 0) + 900)</f>
        <v>899</v>
      </c>
      <c r="U6" s="10">
        <f t="shared" ref="U6:U7" si="8">ABS(3100-((3100 - 900) * (180 - Q6 - 0) / (180 - 0) + 900))</f>
        <v>2.572278496245417E-3</v>
      </c>
      <c r="V6" s="8">
        <f t="shared" ref="V6:V7" si="9">ROUND(((3100 - 900) * (180 - Q6 - 0) / (180 - 0) + 900),0)</f>
        <v>3100</v>
      </c>
      <c r="W6" s="22">
        <f t="shared" si="5"/>
        <v>900</v>
      </c>
    </row>
    <row r="7" spans="10:23" x14ac:dyDescent="0.25">
      <c r="J7" s="5" t="s">
        <v>5</v>
      </c>
      <c r="K7" s="19">
        <v>4</v>
      </c>
      <c r="L7" s="11">
        <v>-1.5708</v>
      </c>
      <c r="M7" s="11">
        <v>1.5708</v>
      </c>
      <c r="N7" s="12">
        <f t="shared" si="0"/>
        <v>-90.000210459149713</v>
      </c>
      <c r="O7" s="12">
        <f t="shared" si="1"/>
        <v>90.000210459149713</v>
      </c>
      <c r="P7" s="12">
        <f t="shared" si="2"/>
        <v>180.00042091829943</v>
      </c>
      <c r="Q7" s="12">
        <f t="shared" si="3"/>
        <v>-2.1045914971296042E-4</v>
      </c>
      <c r="R7" s="12">
        <f t="shared" si="4"/>
        <v>180.00021045914971</v>
      </c>
      <c r="S7" s="11">
        <f t="shared" si="6"/>
        <v>3100</v>
      </c>
      <c r="T7" s="11">
        <f t="shared" si="7"/>
        <v>899</v>
      </c>
      <c r="U7" s="13">
        <f t="shared" si="8"/>
        <v>2.572278496245417E-3</v>
      </c>
      <c r="V7" s="11">
        <f t="shared" si="9"/>
        <v>3100</v>
      </c>
      <c r="W7" s="20">
        <f t="shared" si="5"/>
        <v>900</v>
      </c>
    </row>
    <row r="8" spans="10:23" x14ac:dyDescent="0.25">
      <c r="J8" s="5" t="s">
        <v>6</v>
      </c>
      <c r="K8" s="21">
        <v>5</v>
      </c>
      <c r="L8" s="8">
        <v>-1.5708</v>
      </c>
      <c r="M8" s="8">
        <v>3.1415899999999999</v>
      </c>
      <c r="N8" s="9">
        <f t="shared" si="0"/>
        <v>-90.000210459149713</v>
      </c>
      <c r="O8" s="9">
        <f t="shared" si="1"/>
        <v>179.9998479605043</v>
      </c>
      <c r="P8" s="9">
        <f t="shared" si="2"/>
        <v>270.00005841965401</v>
      </c>
      <c r="Q8" s="9">
        <f>N8+90</f>
        <v>-2.1045914971296042E-4</v>
      </c>
      <c r="R8" s="9">
        <f>O8+90</f>
        <v>269.99984796050433</v>
      </c>
      <c r="S8" s="8">
        <f>INT((3700 - 380) * (Q8 - 0) /  (270 - 0) + 380)</f>
        <v>379</v>
      </c>
      <c r="T8" s="8">
        <f>INT((3700 - 380) * (R8 - 0) /  (270 - 0) + 380)</f>
        <v>3699</v>
      </c>
      <c r="U8" s="10">
        <f>ABS(380-((3700 - 380) * (Q8 - 0) /  (270 - 0) + 380))</f>
        <v>2.5878680631308271E-3</v>
      </c>
      <c r="V8" s="8">
        <f>ROUND(((3700 - 380) * (Q8 - 0) /  (270 - 0) + 380),0)</f>
        <v>380</v>
      </c>
      <c r="W8" s="22">
        <f>ROUND(((3700 - 380) * (R8 - 0) /  (270 - 0) + 380),0)</f>
        <v>3700</v>
      </c>
    </row>
    <row r="9" spans="10:23" ht="15.75" thickBot="1" x14ac:dyDescent="0.3">
      <c r="J9" s="4" t="s">
        <v>7</v>
      </c>
      <c r="K9" s="32">
        <v>6</v>
      </c>
      <c r="L9" s="33">
        <v>1.54</v>
      </c>
      <c r="M9" s="33">
        <v>0</v>
      </c>
      <c r="N9" s="34">
        <f t="shared" si="0"/>
        <v>88.235500450146773</v>
      </c>
      <c r="O9" s="34">
        <f t="shared" si="1"/>
        <v>0</v>
      </c>
      <c r="P9" s="34">
        <f t="shared" si="2"/>
        <v>88.235500450146773</v>
      </c>
      <c r="Q9" s="34">
        <f>N9+90</f>
        <v>178.23550045014679</v>
      </c>
      <c r="R9" s="34">
        <f>O9+90</f>
        <v>90</v>
      </c>
      <c r="S9" s="33">
        <f>INT((3100 - 900) * (Q9 - 0) / (180 - 0) + 900)</f>
        <v>3078</v>
      </c>
      <c r="T9" s="33">
        <f>INT((3100 - 900) * (R9 - 0) / (180 - 0) + 900)</f>
        <v>2000</v>
      </c>
      <c r="U9" s="33"/>
      <c r="V9" s="33">
        <f>ROUND(((3100 - 900) * (Q9 - 0) / (180 - 0) + 900),0)</f>
        <v>3078</v>
      </c>
      <c r="W9" s="35">
        <f>ROUND(((3100 - 900) * (R9 - 0) / (180 - 0) + 900),0)</f>
        <v>2000</v>
      </c>
    </row>
    <row r="10" spans="10:23" x14ac:dyDescent="0.25">
      <c r="T10" s="1"/>
      <c r="U10" s="1"/>
      <c r="V10" s="1"/>
    </row>
    <row r="11" spans="10:23" x14ac:dyDescent="0.25">
      <c r="T11" s="1"/>
      <c r="U11" s="1"/>
      <c r="V11" s="1"/>
    </row>
    <row r="12" spans="10:23" ht="15.75" thickBot="1" x14ac:dyDescent="0.3">
      <c r="J12" s="31" t="s">
        <v>25</v>
      </c>
      <c r="T12" s="1"/>
      <c r="U12" s="1"/>
      <c r="V12" s="1"/>
    </row>
    <row r="13" spans="10:23" x14ac:dyDescent="0.25">
      <c r="J13" s="36" t="s">
        <v>14</v>
      </c>
      <c r="K13" s="37"/>
      <c r="L13" s="37" t="s">
        <v>24</v>
      </c>
      <c r="M13" s="37"/>
      <c r="N13" s="3" t="s">
        <v>16</v>
      </c>
      <c r="O13" s="3" t="s">
        <v>15</v>
      </c>
      <c r="P13" s="37" t="s">
        <v>19</v>
      </c>
      <c r="Q13" s="37"/>
      <c r="R13" s="37" t="s">
        <v>20</v>
      </c>
      <c r="S13" s="38"/>
      <c r="T13" s="1"/>
      <c r="U13" s="1"/>
      <c r="V13" s="1"/>
    </row>
    <row r="14" spans="10:23" ht="15.75" thickBot="1" x14ac:dyDescent="0.3">
      <c r="J14" s="5" t="s">
        <v>0</v>
      </c>
      <c r="K14" s="6" t="s">
        <v>1</v>
      </c>
      <c r="L14" s="6" t="s">
        <v>0</v>
      </c>
      <c r="M14" s="6" t="s">
        <v>1</v>
      </c>
      <c r="N14" s="6"/>
      <c r="O14" s="6"/>
      <c r="P14" s="6" t="s">
        <v>0</v>
      </c>
      <c r="Q14" s="6" t="s">
        <v>1</v>
      </c>
      <c r="R14" s="6" t="s">
        <v>0</v>
      </c>
      <c r="S14" s="7" t="s">
        <v>1</v>
      </c>
      <c r="T14" s="1"/>
      <c r="U14" s="1"/>
      <c r="V14" s="1"/>
    </row>
    <row r="15" spans="10:23" ht="15.75" thickBot="1" x14ac:dyDescent="0.3">
      <c r="J15" s="23">
        <v>0</v>
      </c>
      <c r="K15" s="24">
        <v>300</v>
      </c>
      <c r="L15" s="25">
        <v>96</v>
      </c>
      <c r="M15" s="25">
        <v>4000</v>
      </c>
      <c r="N15" s="30">
        <f>(K15-J15)/(M15-L15)</f>
        <v>7.6844262295081969E-2</v>
      </c>
      <c r="O15" s="26" t="s">
        <v>17</v>
      </c>
      <c r="P15" s="27">
        <v>67.5</v>
      </c>
      <c r="Q15" s="27">
        <v>232.5</v>
      </c>
      <c r="R15" s="28">
        <f>INT(P15*$M15/300)</f>
        <v>900</v>
      </c>
      <c r="S15" s="29">
        <f>INT(Q15*$M15/300)</f>
        <v>3100</v>
      </c>
      <c r="T15" s="1"/>
      <c r="U15" s="1"/>
      <c r="V15" s="1"/>
    </row>
  </sheetData>
  <mergeCells count="9">
    <mergeCell ref="V2:W2"/>
    <mergeCell ref="J13:K13"/>
    <mergeCell ref="L13:M13"/>
    <mergeCell ref="P13:Q13"/>
    <mergeCell ref="R13:S13"/>
    <mergeCell ref="L2:M2"/>
    <mergeCell ref="N2:O2"/>
    <mergeCell ref="Q2:R2"/>
    <mergeCell ref="S2:T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Rivas</dc:creator>
  <cp:lastModifiedBy>Felipe Rivas</cp:lastModifiedBy>
  <dcterms:created xsi:type="dcterms:W3CDTF">2024-03-17T00:06:16Z</dcterms:created>
  <dcterms:modified xsi:type="dcterms:W3CDTF">2024-03-17T03:09:19Z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2024-03-17T02:03:58Z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91adea0d-55d6-491b-9177-d943c5e8a8b3</vt:lpwstr>
  </property>
  <property fmtid="{D5CDD505-2E9C-101B-9397-08002B2CF9AE}" pid="7" name="MSIP_Label_defa4170-0d19-0005-0004-bc88714345d2_ActionId">
    <vt:lpwstr>a2a3f655-cfa6-4b41-b978-743a2a6a942a</vt:lpwstr>
  </property>
  <property fmtid="{D5CDD505-2E9C-101B-9397-08002B2CF9AE}" pid="8" name="MSIP_Label_defa4170-0d19-0005-0004-bc88714345d2_ContentBits">
    <vt:lpwstr>0</vt:lpwstr>
  </property>
</Properties>
</file>